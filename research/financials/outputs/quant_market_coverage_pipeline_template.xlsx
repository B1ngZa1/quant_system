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d7f39215d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08a139934fc94320"/>
  </x:sheets>
</x:workbook>
</file>

<file path=xl/sharedStrings.xml><?xml version="1.0" encoding="utf-8"?>
<x:sst xmlns:x="http://schemas.openxmlformats.org/spreadsheetml/2006/main">
  <x:si>
    <x:t xml:space="preserve">Forecast Controls</x:t>
  </x:si>
  <x:si>
    <x:t xml:space="preserve">As-of Date</x:t>
  </x:si>
  <x:si>
    <x:t xml:space="preserve">TOTAL OPEN PIPELINE</x:t>
  </x:si>
  <x:si>
    <x:t xml:space="preserve">WEIGHTED OPEN PIPELINE</x:t>
  </x:si>
  <x:si>
    <x:t xml:space="preserve">HORIZON FORECAST</x:t>
  </x:si>
  <x:si>
    <x:t xml:space="preserve">PIPELINE COVERAGE</x:t>
  </x:si>
  <x:si>
    <x:t xml:space="preserve">Forecast Horizon</x:t>
  </x:si>
  <x:si>
    <x:t xml:space="preserve">Quarter Target</x:t>
  </x:si>
  <x:si>
    <x:t xml:space="preserve">Stale Threshold</x:t>
  </x:si>
  <x:si>
    <x:t xml:space="preserve">WIN RATE</x:t>
  </x:si>
  <x:si>
    <x:t xml:space="preserve">AVG. SALES CYCLE</x:t>
  </x:si>
  <x:si>
    <x:t xml:space="preserve">OPEN DEALS</x:t>
  </x:si>
  <x:si>
    <x:t xml:space="preserve">STALE OPEN DEALS</x:t>
  </x:si>
  <x:si>
    <x:t xml:space="preserve">Stage</x:t>
  </x:si>
  <x:si>
    <x:t xml:space="preserve">Probability</x:t>
  </x:si>
  <x:si>
    <x:t xml:space="preserve">Discovery</x:t>
  </x:si>
  <x:si>
    <x:t xml:space="preserve">Qualification</x:t>
  </x:si>
  <x:si>
    <x:t xml:space="preserve">Solution Fit</x:t>
  </x:si>
  <x:si>
    <x:t xml:space="preserve">Technical Validation</x:t>
  </x:si>
  <x:si>
    <x:t xml:space="preserve">Company</x:t>
  </x:si>
  <x:si>
    <x:t xml:space="preserve">Account Executive</x:t>
  </x:si>
  <x:si>
    <x:t xml:space="preserve">Deal Size</x:t>
  </x:si>
  <x:si>
    <x:t xml:space="preserve">Forecast Category</x:t>
  </x:si>
  <x:si>
    <x:t xml:space="preserve">Expected Close Date</x:t>
  </x:si>
  <x:si>
    <x:t xml:space="preserve">Days in Stage</x:t>
  </x:si>
  <x:si>
    <x:t xml:space="preserve">Stale Flag</x:t>
  </x:si>
  <x:si>
    <x:t xml:space="preserve">Next Step</x:t>
  </x:si>
  <x:si>
    <x:t xml:space="preserve">Lead Source</x:t>
  </x:si>
  <x:si>
    <x:t xml:space="preserve">Segment</x:t>
  </x:si>
  <x:si>
    <x:t xml:space="preserve">Risk Status</x:t>
  </x:si>
  <x:si>
    <x:t xml:space="preserve">Weighted Amount</x:t>
  </x:si>
  <x:si>
    <x:t xml:space="preserve">Proposal</x:t>
  </x:si>
  <x:si>
    <x:t xml:space="preserve">Negotiation</x:t>
  </x:si>
  <x:si>
    <x:t xml:space="preserve">Closed Won</x:t>
  </x:si>
  <x:si>
    <x:t xml:space="preserve">Closed Lost</x:t>
  </x:si>
  <x:si>
    <x:t xml:space="preserve">Capacity Status</x:t>
  </x:si>
  <x:si>
    <x:t xml:space="preserve">Used Deal Rows</x:t>
  </x:si>
  <x:si>
    <x:t xml:space="preserve">Remaining Capacity</x:t>
  </x:si>
  <x:si>
    <x:t xml:space="preserve">Capacity Contract</x:t>
  </x:si>
</x:sst>
</file>

<file path=xl/styles.xml><?xml version="1.0" encoding="utf-8"?>
<x:styleSheet xmlns:x="http://schemas.openxmlformats.org/spreadsheetml/2006/main">
  <x:numFmts count="8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#,##0"/>
    <x:numFmt numFmtId="201" formatCode="0.0%"/>
  </x:numFmts>
  <x:fonts count="15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b/>
      <x:sz val="9"/>
      <x:color rgb="FF1F1F1F"/>
      <x:name val="Arial"/>
    </x:font>
    <x:font>
      <x:b/>
      <x:sz val="11"/>
      <x:color rgb="FF1F1F1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D9EAF7"/>
      </x:patternFill>
    </x:fill>
  </x:fills>
  <x:borders count="23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0" fillId="8" borderId="2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13" fillId="8" borderId="20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 applyAlignment="1">
      <x:alignment vertical="center" wrapText="1"/>
    </x:xf>
    <x:xf numFmtId="0" fontId="13" fillId="8" borderId="22" xfId="0" applyNumberFormat="1" applyFont="1" applyFill="1" applyBorder="1" applyAlignment="1">
      <x:alignment horizontal="center" vertical="center" wrapText="1"/>
    </x:xf>
    <x:xf numFmtId="0" fontId="14" fillId="8" borderId="22" xfId="0" applyNumberFormat="1" applyFont="1" applyFill="1" applyBorder="1" applyAlignment="1">
      <x:alignment vertical="center" wrapText="1"/>
    </x:xf>
    <x:xf numFmtId="0" fontId="11" fillId="4" borderId="22" xfId="0" applyNumberFormat="1" applyFont="1" applyFill="1" applyBorder="1" applyAlignment="1">
      <x:alignment horizontal="left" vertical="center" wrapText="1"/>
    </x:xf>
    <x:xf numFmtId="0" fontId="11" fillId="4" borderId="22" xfId="0" applyNumberFormat="1" applyFont="1" applyFill="1" applyBorder="1" applyAlignment="1">
      <x:alignment horizontal="center" vertical="center" wrapText="1"/>
    </x:xf>
    <x:xf numFmtId="166" fontId="11" fillId="4" borderId="22" xfId="0" applyNumberFormat="1" applyFont="1" applyFill="1" applyBorder="1" applyAlignment="1">
      <x:alignment horizontal="left" vertical="center" wrapText="1"/>
    </x:xf>
    <x:xf numFmtId="168" fontId="11" fillId="4" borderId="22" xfId="0" applyNumberFormat="1" applyFont="1" applyFill="1" applyBorder="1" applyAlignment="1">
      <x:alignment horizontal="right" vertical="center" wrapText="1"/>
    </x:xf>
    <x:xf numFmtId="164" fontId="11" fillId="4" borderId="22" xfId="0" applyNumberFormat="1" applyFont="1" applyFill="1" applyBorder="1" applyAlignment="1">
      <x:alignment horizontal="left" vertical="center" wrapText="1"/>
    </x:xf>
    <x:xf numFmtId="165" fontId="11" fillId="4" borderId="22" xfId="0" applyNumberFormat="1" applyFont="1" applyFill="1" applyBorder="1" applyAlignment="1">
      <x:alignment horizontal="left" vertical="center" wrapText="1"/>
    </x:xf>
    <x:xf numFmtId="166" fontId="11" fillId="4" borderId="22" xfId="0" applyNumberFormat="1" applyFont="1" applyFill="1" applyBorder="1" applyAlignment="1">
      <x:alignment horizontal="right" vertical="center" wrapText="1"/>
    </x:xf>
    <x:xf numFmtId="0" fontId="3" fillId="0" borderId="22" xfId="0" applyNumberFormat="1" applyFont="1" applyFill="1" applyBorder="1" applyAlignment="1">
      <x:alignment vertical="center"/>
    </x:xf>
    <x:xf numFmtId="0" fontId="11" fillId="7" borderId="22" xfId="0" applyNumberFormat="1" applyFont="1" applyFill="1" applyBorder="1" applyAlignment="1">
      <x:alignment horizontal="left" vertical="center" wrapText="1"/>
    </x:xf>
    <x:xf numFmtId="0" fontId="11" fillId="7" borderId="22" xfId="0" applyNumberFormat="1" applyFont="1" applyFill="1" applyBorder="1" applyAlignment="1">
      <x:alignment horizontal="center" vertical="center" wrapText="1"/>
    </x:xf>
    <x:xf numFmtId="166" fontId="11" fillId="7" borderId="22" xfId="0" applyNumberFormat="1" applyFont="1" applyFill="1" applyBorder="1" applyAlignment="1">
      <x:alignment horizontal="left" vertical="center" wrapText="1"/>
    </x:xf>
    <x:xf numFmtId="168" fontId="11" fillId="7" borderId="22" xfId="0" applyNumberFormat="1" applyFont="1" applyFill="1" applyBorder="1" applyAlignment="1">
      <x:alignment horizontal="right" vertical="center" wrapText="1"/>
    </x:xf>
    <x:xf numFmtId="164" fontId="11" fillId="7" borderId="22" xfId="0" applyNumberFormat="1" applyFont="1" applyFill="1" applyBorder="1" applyAlignment="1">
      <x:alignment horizontal="left" vertical="center" wrapText="1"/>
    </x:xf>
    <x:xf numFmtId="165" fontId="11" fillId="7" borderId="22" xfId="0" applyNumberFormat="1" applyFont="1" applyFill="1" applyBorder="1" applyAlignment="1">
      <x:alignment horizontal="left" vertical="center" wrapText="1"/>
    </x:xf>
    <x:xf numFmtId="166" fontId="11" fillId="7" borderId="22" xfId="0" applyNumberFormat="1" applyFont="1" applyFill="1" applyBorder="1" applyAlignment="1">
      <x:alignment horizontal="right" vertical="center" wrapText="1"/>
    </x:xf>
    <x:xf numFmtId="200" fontId="11" fillId="4" borderId="22" xfId="0" applyNumberFormat="1" applyFont="1" applyFill="1" applyBorder="1" applyAlignment="1">
      <x:alignment horizontal="left" vertical="center" wrapText="1"/>
    </x:xf>
    <x:xf numFmtId="200" fontId="11" fillId="7" borderId="22" xfId="0" applyNumberFormat="1" applyFont="1" applyFill="1" applyBorder="1" applyAlignment="1">
      <x:alignment horizontal="left" vertical="center" wrapText="1"/>
    </x:xf>
    <x:xf numFmtId="201" fontId="11" fillId="4" borderId="22" xfId="0" applyNumberFormat="1" applyFont="1" applyFill="1" applyBorder="1" applyAlignment="1">
      <x:alignment horizontal="right" vertical="center" wrapText="1"/>
    </x:xf>
    <x:xf numFmtId="201" fontId="11" fillId="7" borderId="22" xfId="0" applyNumberFormat="1" applyFont="1" applyFill="1" applyBorder="1" applyAlignment="1">
      <x:alignment horizontal="right" vertical="center" wrapText="1"/>
    </x:xf>
    <x:xf numFmtId="200" fontId="11" fillId="4" borderId="22" xfId="0" applyNumberFormat="1" applyFont="1" applyFill="1" applyBorder="1" applyAlignment="1">
      <x:alignment horizontal="right" vertical="center" wrapText="1"/>
    </x:xf>
    <x:xf numFmtId="200" fontId="11" fillId="7" borderId="22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7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76116dd524f57" /><Relationship Type="http://schemas.openxmlformats.org/officeDocument/2006/relationships/theme" Target="/xl/theme/theme1.xml" Id="R8492741592dd47a1" /><Relationship Type="http://schemas.openxmlformats.org/officeDocument/2006/relationships/sharedStrings" Target="/xl/sharedStrings.xml" Id="Rbca06a256cd4468e" /><Relationship Type="http://schemas.openxmlformats.org/officeDocument/2006/relationships/worksheet" Target="/xl/worksheets/sheet1.xml" Id="R08a139934fc943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18" customWidth="1"/>
    <x:col min="2" max="2" width="22.8799991607666" style="18" hidden="0" customWidth="1"/>
    <x:col min="3" max="3" width="14" style="18" hidden="0" customWidth="1"/>
    <x:col min="4" max="4" width="9" style="18" hidden="0" customWidth="1"/>
    <x:col min="5" max="5" width="7.130000114440918" style="18" hidden="0" customWidth="1"/>
    <x:col min="6" max="6" width="8.380000114440918" style="18" hidden="0" customWidth="1"/>
    <x:col min="7" max="7" width="13.75" style="18" hidden="0" customWidth="1"/>
    <x:col min="9" max="9" width="10.380000114440918" style="18" hidden="0" customWidth="1"/>
    <x:col min="10" max="10" width="10.130000114440918" style="18" hidden="0" customWidth="1"/>
    <x:col min="11" max="11" width="26.25" style="18" hidden="0" customWidth="1"/>
    <x:col min="12" max="12" width="9.630000114440918" style="18" hidden="0" customWidth="1"/>
    <x:col min="14" max="14" width="11.5" style="18" hidden="0" customWidth="1"/>
    <x:col min="15" max="15" width="13.380000114440918" style="18" hidden="0" customWidth="1"/>
    <x:col min="16" max="16" width="48" style="18" hidden="0" customWidth="1"/>
    <x:col min="17" max="17" width="24" style="18" customWidth="1"/>
    <x:col min="18" max="18" width="14" style="18" customWidth="1"/>
    <x:col min="19" max="19" width="16" style="18" customWidth="1"/>
    <x:col min="20" max="27" width="8.83203125" style="18" customWidth="1"/>
    <x:col min="28" max="16384" width="12.6640625" style="18" customWidth="0"/>
    <x:col min="8" max="8" width="15.380000114440918" hidden="0" customWidth="1"/>
    <x:col min="13" max="13" width="7.5" hidden="0" customWidth="1"/>
  </x:cols>
  <x:sheetData>
    <x:row r="2" ht="24" customHeight="1">
      <x:c r="B2" s="37" t="str">
        <x:v>Market Coverage Pipeline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9"/>
      <x:c r="P2" s="19"/>
      <x:c r="Q2" s="40" t="s">
        <x:v>0</x:v>
      </x:c>
      <x:c r="R2" s="41"/>
      <x:c r="S2" s="42"/>
    </x:row>
    <x:row r="3" ht="24" customHeight="1">
      <x:c r="B3" s="46" t="str">
        <x:v>Listed financial-software and market-infrastructure coverage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9"/>
      <x:c r="P3" s="19"/>
      <x:c r="Q3" s="43"/>
      <x:c r="R3" s="44"/>
      <x:c r="S3" s="45"/>
    </x:row>
    <x:row r="4" ht="13.5" customHeight="1"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36" t="s">
        <x:v>1</x:v>
      </x:c>
      <x:c r="R4" s="27"/>
      <x:c r="S4" s="20">
        <x:v>46569</x:v>
      </x:c>
    </x:row>
    <x:row r="5" ht="19.5" customHeight="1">
      <x:c r="B5" s="35" t="s">
        <x:v>2</x:v>
      </x:c>
      <x:c r="C5" s="26"/>
      <x:c r="D5" s="27"/>
      <x:c r="E5" s="35" t="s">
        <x:v>3</x:v>
      </x:c>
      <x:c r="F5" s="26"/>
      <x:c r="G5" s="27"/>
      <x:c r="H5" s="35" t="s">
        <x:v>4</x:v>
      </x:c>
      <x:c r="I5" s="26"/>
      <x:c r="J5" s="27"/>
      <x:c r="K5" s="35" t="s">
        <x:v>5</x:v>
      </x:c>
      <x:c r="L5" s="26"/>
      <x:c r="M5" s="27"/>
      <x:c r="N5" s="19"/>
      <x:c r="O5" s="19"/>
      <x:c r="P5" s="19"/>
      <x:c r="Q5" s="36" t="s">
        <x:v>6</x:v>
      </x:c>
      <x:c r="R5" s="27"/>
      <x:c r="S5" s="21">
        <x:v>90</x:v>
      </x:c>
    </x:row>
    <x:row r="6" ht="24.75" customHeight="1">
      <x:c r="B6" s="28" t="n">
        <x:f>IFERROR(SUMIFS($E$16:$E$115,$B$16:$B$115,"&lt;&gt;",$D$16:$D$115,"&lt;&gt;Closed Won",$D$16:$D$115,"&lt;&gt;Closed Lost"),0)</x:f>
        <x:v>0</x:v>
      </x:c>
      <x:c r="C6" s="29"/>
      <x:c r="D6" s="30"/>
      <x:c r="E6" s="28" t="n">
        <x:f>IFERROR(SUMIFS($O$16:$O$115,$B$16:$B$115,"&lt;&gt;",$D$16:$D$115,"&lt;&gt;Closed Won",$D$16:$D$115,"&lt;&gt;Closed Lost"),0)</x:f>
        <x:v>0</x:v>
      </x:c>
      <x:c r="F6" s="29"/>
      <x:c r="G6" s="30"/>
      <x:c r="H6" s="28" t="n">
        <x:f>IFERROR(SUMPRODUCT($O$16:$O$115,--($B$16:$B$115&lt;&gt;""),--($H$16:$H$115&gt;=$S$4),--($H$16:$H$115&lt;=$S$4+$S$5),--($D$16:$D$115&lt;&gt;"Closed Won"),--($D$16:$D$115&lt;&gt;"Closed Lost")),0)</x:f>
        <x:v>0</x:v>
      </x:c>
      <x:c r="I6" s="29"/>
      <x:c r="J6" s="30"/>
      <x:c r="K6" s="34" t="n">
        <x:f>IFERROR(B6/$S$6,0)</x:f>
        <x:v>0</x:v>
      </x:c>
      <x:c r="L6" s="29"/>
      <x:c r="M6" s="30"/>
      <x:c r="N6" s="19"/>
      <x:c r="O6" s="19"/>
      <x:c r="P6" s="19"/>
      <x:c r="Q6" s="36" t="s">
        <x:v>7</x:v>
      </x:c>
      <x:c r="R6" s="27"/>
      <x:c r="S6" s="22">
        <x:v>8000000</x:v>
      </x:c>
    </x:row>
    <x:row r="7" ht="24.75" customHeight="1">
      <x:c r="B7" s="31"/>
      <x:c r="C7" s="32"/>
      <x:c r="D7" s="33"/>
      <x:c r="E7" s="31"/>
      <x:c r="F7" s="32"/>
      <x:c r="G7" s="33"/>
      <x:c r="H7" s="31"/>
      <x:c r="I7" s="32"/>
      <x:c r="J7" s="33"/>
      <x:c r="K7" s="31"/>
      <x:c r="L7" s="32"/>
      <x:c r="M7" s="33"/>
      <x:c r="N7" s="19"/>
      <x:c r="O7" s="19"/>
      <x:c r="P7" s="19"/>
      <x:c r="Q7" s="36" t="s">
        <x:v>8</x:v>
      </x:c>
      <x:c r="R7" s="27"/>
      <x:c r="S7" s="21">
        <x:v>30</x:v>
      </x:c>
    </x:row>
    <x:row r="8" ht="13.5" customHeight="1"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</x:row>
    <x:row r="9" ht="19.5" customHeight="1">
      <x:c r="B9" s="35" t="s">
        <x:v>9</x:v>
      </x:c>
      <x:c r="C9" s="26"/>
      <x:c r="D9" s="27"/>
      <x:c r="E9" s="35" t="s">
        <x:v>10</x:v>
      </x:c>
      <x:c r="F9" s="26"/>
      <x:c r="G9" s="27"/>
      <x:c r="H9" s="35" t="s">
        <x:v>11</x:v>
      </x:c>
      <x:c r="I9" s="26"/>
      <x:c r="J9" s="27"/>
      <x:c r="K9" s="35" t="s">
        <x:v>12</x:v>
      </x:c>
      <x:c r="L9" s="26"/>
      <x:c r="M9" s="27"/>
      <x:c r="N9" s="19"/>
      <x:c r="O9" s="19"/>
      <x:c r="P9" s="19"/>
      <x:c r="Q9" s="19"/>
      <x:c r="R9" s="19"/>
      <x:c r="S9" s="19"/>
    </x:row>
    <x:row r="10" ht="24.75" customHeight="1">
      <x:c r="B10" s="47" t="str">
        <x:f>IF(COUNTIFS($B$16:$B$115,"&lt;&gt;",$D$16:$D$115,"Closed Won")+COUNTIFS($B$16:$B$115,"&lt;&gt;",$D$16:$D$115,"Closed Lost")=0,"N/A",COUNTIFS($B$16:$B$115,"&lt;&gt;",$D$16:$D$115,"Closed Won")/(COUNTIFS($B$16:$B$115,"&lt;&gt;",$D$16:$D$115,"Closed Won")+COUNTIFS($B$16:$B$115,"&lt;&gt;",$D$16:$D$115,"Closed Lost")))</x:f>
        <x:v>N/A</x:v>
      </x:c>
      <x:c r="C10" s="29"/>
      <x:c r="D10" s="30"/>
      <x:c r="E10" s="48" t="str">
        <x:f>IF(COUNTIFS($B$16:$B$115,"&lt;&gt;",$D$16:$D$115,"Closed Won")=0,"N/A",SUMIFS($I$16:$I$115,$B$16:$B$115,"&lt;&gt;",$D$16:$D$115,"Closed Won")/COUNTIFS($B$16:$B$115,"&lt;&gt;",$D$16:$D$115,"Closed Won"))</x:f>
        <x:v>N/A</x:v>
      </x:c>
      <x:c r="F10" s="29"/>
      <x:c r="G10" s="30"/>
      <x:c r="H10" s="49" t="n">
        <x:f>COUNTIFS($B$16:$B$115,"&lt;&gt;",$D$16:$D$115,"&lt;&gt;Closed Won",$D$16:$D$115,"&lt;&gt;Closed Lost")</x:f>
        <x:v>15</x:v>
      </x:c>
      <x:c r="I10" s="29"/>
      <x:c r="J10" s="30"/>
      <x:c r="K10" s="50" t="n">
        <x:f>COUNTIFS($B$16:$B$115,"&lt;&gt;",$J$16:$J$115,"STALE",$D$16:$D$115,"&lt;&gt;Closed Won",$D$16:$D$115,"&lt;&gt;Closed Lost")</x:f>
        <x:v>0</x:v>
      </x:c>
      <x:c r="L10" s="29"/>
      <x:c r="M10" s="30"/>
      <x:c r="N10" s="19"/>
      <x:c r="O10" s="19"/>
      <x:c r="P10" s="19"/>
      <x:c r="Q10" s="1" t="s">
        <x:v>13</x:v>
      </x:c>
      <x:c r="R10" s="1" t="s">
        <x:v>14</x:v>
      </x:c>
      <x:c r="S10" s="19"/>
    </x:row>
    <x:row r="11" ht="24.75" customHeight="1">
      <x:c r="B11" s="31"/>
      <x:c r="C11" s="32"/>
      <x:c r="D11" s="33"/>
      <x:c r="E11" s="31"/>
      <x:c r="F11" s="32"/>
      <x:c r="G11" s="33"/>
      <x:c r="H11" s="31"/>
      <x:c r="I11" s="32"/>
      <x:c r="J11" s="33"/>
      <x:c r="K11" s="31"/>
      <x:c r="L11" s="32"/>
      <x:c r="M11" s="33"/>
      <x:c r="N11" s="19"/>
      <x:c r="O11" s="19"/>
      <x:c r="P11" s="19"/>
      <x:c r="Q11" s="2" t="s">
        <x:v>15</x:v>
      </x:c>
      <x:c r="R11" s="3">
        <x:v>0.1</x:v>
      </x:c>
      <x:c r="S11" s="19"/>
    </x:row>
    <x:row r="12" ht="13.5" customHeight="1"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2" t="s">
        <x:v>16</x:v>
      </x:c>
      <x:c r="R12" s="3">
        <x:v>0.2</x:v>
      </x:c>
      <x:c r="S12" s="19"/>
    </x:row>
    <x:row r="13" ht="13.5" customHeight="1">
      <x:c r="B13" s="51" t="str">
        <x:v>Coverage Targets</x:v>
      </x:c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9"/>
      <x:c r="P13" s="19"/>
      <x:c r="Q13" s="2" t="s">
        <x:v>17</x:v>
      </x:c>
      <x:c r="R13" s="3">
        <x:v>0.35</x:v>
      </x:c>
      <x:c r="S13" s="19"/>
    </x:row>
    <x:row r="14" ht="27.75" customHeight="1">
      <x:c r="B14" s="25" t="str">
        <x:v>These rows track source-backed research coverage, not commercial opportunities. Deal size and probability are intentionally blank/zero until sourced.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7"/>
      <x:c r="P14" s="19"/>
      <x:c r="Q14" s="2" t="s">
        <x:v>18</x:v>
      </x:c>
      <x:c r="R14" s="3">
        <x:v>0.55000000000000004</x:v>
      </x:c>
      <x:c r="S14" s="19"/>
    </x:row>
    <x:row r="15" ht="33.75" customHeight="1">
      <x:c r="B15" s="57" t="s">
        <x:v>19</x:v>
      </x:c>
      <x:c r="C15" s="57" t="s">
        <x:v>20</x:v>
      </x:c>
      <x:c r="D15" s="57" t="s">
        <x:v>13</x:v>
      </x:c>
      <x:c r="E15" s="57" t="s">
        <x:v>21</x:v>
      </x:c>
      <x:c r="F15" s="57" t="s">
        <x:v>14</x:v>
      </x:c>
      <x:c r="G15" s="57" t="s">
        <x:v>22</x:v>
      </x:c>
      <x:c r="H15" s="57" t="s">
        <x:v>23</x:v>
      </x:c>
      <x:c r="I15" s="57" t="s">
        <x:v>24</x:v>
      </x:c>
      <x:c r="J15" s="57" t="s">
        <x:v>25</x:v>
      </x:c>
      <x:c r="K15" s="57" t="s">
        <x:v>26</x:v>
      </x:c>
      <x:c r="L15" s="57" t="s">
        <x:v>27</x:v>
      </x:c>
      <x:c r="M15" s="57" t="s">
        <x:v>28</x:v>
      </x:c>
      <x:c r="N15" s="57" t="s">
        <x:v>29</x:v>
      </x:c>
      <x:c r="O15" s="57" t="s">
        <x:v>30</x:v>
      </x:c>
      <x:c r="P15" s="58" t="str">
        <x:v>Source URL</x:v>
      </x:c>
      <x:c r="Q15" s="2" t="s">
        <x:v>31</x:v>
      </x:c>
      <x:c r="R15" s="3">
        <x:v>0.7</x:v>
      </x:c>
      <x:c r="S15" s="19"/>
    </x:row>
    <x:row r="16" ht="13.5" customHeight="1">
      <x:c r="B16" s="59" t="str">
        <x:v>SS&amp;C Technologies Holdings Inc.</x:v>
      </x:c>
      <x:c r="C16" s="59" t="str">
        <x:v>Research Agent</x:v>
      </x:c>
      <x:c r="D16" s="60" t="str">
        <x:v>Research</x:v>
      </x:c>
      <x:c r="E16" s="74"/>
      <x:c r="F16" s="76" t="n">
        <x:f t="shared" ref="F16:F39" si="0">IF(B16="","",IFERROR(INDEX($R$11:$R$18,MATCH(D16,$Q$11:$Q$18,0)),0))</x:f>
        <x:v>0</x:v>
      </x:c>
      <x:c r="G16" s="60" t="str">
        <x:v>Pipeline</x:v>
      </x:c>
      <x:c r="H16" s="63"/>
      <x:c r="I16" s="64"/>
      <x:c r="J16" s="60" t="str">
        <x:f t="shared" ref="J16:J39" si="1">"Not applicable"</x:f>
        <x:v>Not applicable</x:v>
      </x:c>
      <x:c r="K16" s="59" t="str">
        <x:v>Download and normalize FY2025 filing</x:v>
      </x:c>
      <x:c r="L16" s="59" t="str">
        <x:v>Official filing</x:v>
      </x:c>
      <x:c r="M16" s="59" t="str">
        <x:v>Nasdaq</x:v>
      </x:c>
      <x:c r="N16" s="60" t="str">
        <x:v>Data pending</x:v>
      </x:c>
      <x:c r="O16" s="78" t="n">
        <x:f t="shared" ref="O16:O39" si="2">IFERROR(E16*F16,0)</x:f>
        <x:v>0</x:v>
      </x:c>
      <x:c r="P16" s="66" t="str">
        <x:v>https://www.sec.gov/Archives/edgar/data/1402436/000119312526076745/ssnc-20251231.htm</x:v>
      </x:c>
      <x:c r="Q16" s="2" t="s">
        <x:v>32</x:v>
      </x:c>
      <x:c r="R16" s="3">
        <x:v>0.85</x:v>
      </x:c>
      <x:c r="S16" s="19"/>
    </x:row>
    <x:row r="17" ht="13.5" customHeight="1">
      <x:c r="B17" s="67" t="str">
        <x:v>FactSet Research Systems Inc.</x:v>
      </x:c>
      <x:c r="C17" s="67" t="str">
        <x:v>Research Agent</x:v>
      </x:c>
      <x:c r="D17" s="68" t="str">
        <x:v>Research</x:v>
      </x:c>
      <x:c r="E17" s="75"/>
      <x:c r="F17" s="77" t="n">
        <x:f t="shared" si="0"/>
        <x:v>0</x:v>
      </x:c>
      <x:c r="G17" s="68" t="str">
        <x:v>Pipeline</x:v>
      </x:c>
      <x:c r="H17" s="71"/>
      <x:c r="I17" s="72"/>
      <x:c r="J17" s="68" t="str">
        <x:f t="shared" si="1"/>
        <x:v>Not applicable</x:v>
      </x:c>
      <x:c r="K17" s="67" t="str">
        <x:v>Download and normalize FY2025 filing</x:v>
      </x:c>
      <x:c r="L17" s="67" t="str">
        <x:v>Official filing</x:v>
      </x:c>
      <x:c r="M17" s="67" t="str">
        <x:v>NYSE</x:v>
      </x:c>
      <x:c r="N17" s="68" t="str">
        <x:v>Data pending</x:v>
      </x:c>
      <x:c r="O17" s="79" t="n">
        <x:f t="shared" si="2">IFERROR(E17*F17,0)</x:f>
        <x:v>0</x:v>
      </x:c>
      <x:c r="P17" s="66" t="str">
        <x:v>https://www.sec.gov/Archives/edgar/data/1013237/000162828025045769/fds-20250831.htm</x:v>
      </x:c>
      <x:c r="Q17" s="2" t="s">
        <x:v>33</x:v>
      </x:c>
      <x:c r="R17" s="3">
        <x:v>1</x:v>
      </x:c>
      <x:c r="S17" s="19"/>
    </x:row>
    <x:row r="18" ht="13.5" customHeight="1">
      <x:c r="B18" s="59" t="str">
        <x:v>S&amp;P Global Inc.</x:v>
      </x:c>
      <x:c r="C18" s="59" t="str">
        <x:v>Research Agent</x:v>
      </x:c>
      <x:c r="D18" s="60" t="str">
        <x:v>Research</x:v>
      </x:c>
      <x:c r="E18" s="74"/>
      <x:c r="F18" s="76" t="n">
        <x:f t="shared" si="0"/>
        <x:v>0</x:v>
      </x:c>
      <x:c r="G18" s="60" t="str">
        <x:v>Pipeline</x:v>
      </x:c>
      <x:c r="H18" s="63"/>
      <x:c r="I18" s="64"/>
      <x:c r="J18" s="60" t="str">
        <x:f t="shared" si="1"/>
        <x:v>Not applicable</x:v>
      </x:c>
      <x:c r="K18" s="59" t="str">
        <x:v>Download and normalize FY2025 filing</x:v>
      </x:c>
      <x:c r="L18" s="59" t="str">
        <x:v>Official filing</x:v>
      </x:c>
      <x:c r="M18" s="59" t="str">
        <x:v>NYSE</x:v>
      </x:c>
      <x:c r="N18" s="60" t="str">
        <x:v>Data pending</x:v>
      </x:c>
      <x:c r="O18" s="78" t="n">
        <x:f t="shared" si="2">IFERROR(E18*F18,0)</x:f>
        <x:v>0</x:v>
      </x:c>
      <x:c r="P18" s="66" t="str">
        <x:v>https://www.sec.gov/Archives/edgar/data/64040/000006404026000013/spgi-20251231.htm</x:v>
      </x:c>
      <x:c r="Q18" s="2" t="s">
        <x:v>34</x:v>
      </x:c>
      <x:c r="R18" s="3">
        <x:v>0</x:v>
      </x:c>
      <x:c r="S18" s="19"/>
    </x:row>
    <x:row r="19" ht="13.5" customHeight="1">
      <x:c r="B19" s="67" t="str">
        <x:v>MSCI Inc.</x:v>
      </x:c>
      <x:c r="C19" s="67" t="str">
        <x:v>Research Agent</x:v>
      </x:c>
      <x:c r="D19" s="68" t="str">
        <x:v>Research</x:v>
      </x:c>
      <x:c r="E19" s="75"/>
      <x:c r="F19" s="77" t="n">
        <x:f t="shared" si="0"/>
        <x:v>0</x:v>
      </x:c>
      <x:c r="G19" s="68" t="str">
        <x:v>Pipeline</x:v>
      </x:c>
      <x:c r="H19" s="71"/>
      <x:c r="I19" s="72"/>
      <x:c r="J19" s="68" t="str">
        <x:f t="shared" si="1"/>
        <x:v>Not applicable</x:v>
      </x:c>
      <x:c r="K19" s="67" t="str">
        <x:v>Download and normalize FY2025 filing</x:v>
      </x:c>
      <x:c r="L19" s="67" t="str">
        <x:v>Official filing</x:v>
      </x:c>
      <x:c r="M19" s="67" t="str">
        <x:v>NYSE</x:v>
      </x:c>
      <x:c r="N19" s="68" t="str">
        <x:v>Data pending</x:v>
      </x:c>
      <x:c r="O19" s="79" t="n">
        <x:f t="shared" si="2">IFERROR(E19*F19,0)</x:f>
        <x:v>0</x:v>
      </x:c>
      <x:c r="P19" s="66" t="str">
        <x:v>https://www.sec.gov/Archives/edgar/data/1408198/000140819826000011/msci-20251231.htm</x:v>
      </x:c>
      <x:c r="Q19" s="19"/>
      <x:c r="R19" s="19"/>
      <x:c r="S19" s="19"/>
    </x:row>
    <x:row r="20" ht="13.5" customHeight="1">
      <x:c r="B20" s="59" t="str">
        <x:v>同花顺</x:v>
      </x:c>
      <x:c r="C20" s="59" t="str">
        <x:v>Research Agent</x:v>
      </x:c>
      <x:c r="D20" s="60" t="str">
        <x:v>Research</x:v>
      </x:c>
      <x:c r="E20" s="74"/>
      <x:c r="F20" s="76" t="n">
        <x:f t="shared" si="0"/>
        <x:v>0</x:v>
      </x:c>
      <x:c r="G20" s="60" t="str">
        <x:v>Pipeline</x:v>
      </x:c>
      <x:c r="H20" s="63"/>
      <x:c r="I20" s="64"/>
      <x:c r="J20" s="60" t="str">
        <x:f t="shared" si="1"/>
        <x:v>Not applicable</x:v>
      </x:c>
      <x:c r="K20" s="59" t="str">
        <x:v>Download and normalize FY2025 filing</x:v>
      </x:c>
      <x:c r="L20" s="59" t="str">
        <x:v>Official filing</x:v>
      </x:c>
      <x:c r="M20" s="59" t="str">
        <x:v>SZSE</x:v>
      </x:c>
      <x:c r="N20" s="60" t="str">
        <x:v>Data pending</x:v>
      </x:c>
      <x:c r="O20" s="78" t="n">
        <x:f t="shared" si="2">IFERROR(E20*F20,0)</x:f>
        <x:v>0</x:v>
      </x:c>
      <x:c r="P20" s="66" t="str">
        <x:v>https://static.cninfo.com.cn/finalpage/2026-03-10/1225002186.PDF</x:v>
      </x:c>
      <x:c r="Q20" s="51" t="s">
        <x:v>35</x:v>
      </x:c>
      <x:c r="R20" s="38"/>
      <x:c r="S20" s="39"/>
    </x:row>
    <x:row r="21" ht="13.5" customHeight="1">
      <x:c r="B21" s="67" t="str">
        <x:v>恒生电子</x:v>
      </x:c>
      <x:c r="C21" s="67" t="str">
        <x:v>Research Agent</x:v>
      </x:c>
      <x:c r="D21" s="68" t="str">
        <x:v>Research</x:v>
      </x:c>
      <x:c r="E21" s="75"/>
      <x:c r="F21" s="77" t="n">
        <x:f t="shared" si="0"/>
        <x:v>0</x:v>
      </x:c>
      <x:c r="G21" s="68" t="str">
        <x:v>Pipeline</x:v>
      </x:c>
      <x:c r="H21" s="71"/>
      <x:c r="I21" s="72"/>
      <x:c r="J21" s="68" t="str">
        <x:f t="shared" si="1"/>
        <x:v>Not applicable</x:v>
      </x:c>
      <x:c r="K21" s="67" t="str">
        <x:v>Download and normalize FY2025 filing</x:v>
      </x:c>
      <x:c r="L21" s="67" t="str">
        <x:v>Official filing</x:v>
      </x:c>
      <x:c r="M21" s="67" t="str">
        <x:v>SSE</x:v>
      </x:c>
      <x:c r="N21" s="68" t="str">
        <x:v>Data pending</x:v>
      </x:c>
      <x:c r="O21" s="79" t="n">
        <x:f t="shared" si="2">IFERROR(E21*F21,0)</x:f>
        <x:v>0</x:v>
      </x:c>
      <x:c r="P21" s="66" t="str">
        <x:v>https://static.cninfo.com.cn/finalpage/2026-03-28/1225046858.PDF</x:v>
      </x:c>
      <x:c r="Q21" s="36" t="s">
        <x:v>36</x:v>
      </x:c>
      <x:c r="R21" s="27"/>
      <x:c r="S21" s="23" t="n">
        <x:f>COUNTIF($B$16:$B$115,"&lt;&gt;")</x:f>
        <x:v>15</x:v>
      </x:c>
    </x:row>
    <x:row r="22" ht="13.5" customHeight="1">
      <x:c r="B22" s="59" t="str">
        <x:v>Nasdaq Inc.</x:v>
      </x:c>
      <x:c r="C22" s="59" t="str">
        <x:v>Research Agent</x:v>
      </x:c>
      <x:c r="D22" s="60" t="str">
        <x:v>Research</x:v>
      </x:c>
      <x:c r="E22" s="74"/>
      <x:c r="F22" s="76" t="n">
        <x:f t="shared" si="0"/>
        <x:v>0</x:v>
      </x:c>
      <x:c r="G22" s="60" t="str">
        <x:v>Pipeline</x:v>
      </x:c>
      <x:c r="H22" s="63"/>
      <x:c r="I22" s="64"/>
      <x:c r="J22" s="60" t="str">
        <x:f t="shared" si="1"/>
        <x:v>Not applicable</x:v>
      </x:c>
      <x:c r="K22" s="59" t="str">
        <x:v>Download and normalize FY2025 filing</x:v>
      </x:c>
      <x:c r="L22" s="59" t="str">
        <x:v>Official filing</x:v>
      </x:c>
      <x:c r="M22" s="59" t="str">
        <x:v>Nasdaq</x:v>
      </x:c>
      <x:c r="N22" s="60" t="str">
        <x:v>Data pending</x:v>
      </x:c>
      <x:c r="O22" s="78" t="n">
        <x:f t="shared" si="2">IFERROR(E22*F22,0)</x:f>
        <x:v>0</x:v>
      </x:c>
      <x:c r="P22" s="66" t="str">
        <x:v>https://www.sec.gov/Archives/edgar/data/1120193/000162828026007703/ndaq-20251231.htm</x:v>
      </x:c>
      <x:c r="Q22" s="36" t="s">
        <x:v>37</x:v>
      </x:c>
      <x:c r="R22" s="27"/>
      <x:c r="S22" s="23" t="n">
        <x:f>MAX(0,100-COUNTIF($B$16:$B$115,"&lt;&gt;"))</x:f>
        <x:v>85</x:v>
      </x:c>
    </x:row>
    <x:row r="23" ht="13.5" customHeight="1">
      <x:c r="B23" s="67" t="str">
        <x:v>CME Group Inc.</x:v>
      </x:c>
      <x:c r="C23" s="67" t="str">
        <x:v>Research Agent</x:v>
      </x:c>
      <x:c r="D23" s="68" t="str">
        <x:v>Research</x:v>
      </x:c>
      <x:c r="E23" s="75"/>
      <x:c r="F23" s="77" t="n">
        <x:f t="shared" si="0"/>
        <x:v>0</x:v>
      </x:c>
      <x:c r="G23" s="68" t="str">
        <x:v>Pipeline</x:v>
      </x:c>
      <x:c r="H23" s="71"/>
      <x:c r="I23" s="72"/>
      <x:c r="J23" s="68" t="str">
        <x:f t="shared" si="1"/>
        <x:v>Not applicable</x:v>
      </x:c>
      <x:c r="K23" s="67" t="str">
        <x:v>Download and normalize FY2025 filing</x:v>
      </x:c>
      <x:c r="L23" s="67" t="str">
        <x:v>Official filing</x:v>
      </x:c>
      <x:c r="M23" s="67" t="str">
        <x:v>Nasdaq</x:v>
      </x:c>
      <x:c r="N23" s="68" t="str">
        <x:v>Data pending</x:v>
      </x:c>
      <x:c r="O23" s="79" t="n">
        <x:f t="shared" si="2">IFERROR(E23*F23,0)</x:f>
        <x:v>0</x:v>
      </x:c>
      <x:c r="P23" s="66" t="str">
        <x:v>https://investor.cmegroup.com/annual-report-10-k</x:v>
      </x:c>
      <x:c r="Q23" s="36" t="s">
        <x:v>38</x:v>
      </x:c>
      <x:c r="R23" s="27"/>
      <x:c r="S23" s="24" t="str">
        <x:f>"100 deal rows (15:"&amp;114&amp;")"</x:f>
        <x:v>100 deal rows (15:114)</x:v>
      </x:c>
    </x:row>
    <x:row r="24" ht="13.5" customHeight="1">
      <x:c r="B24" s="59" t="str">
        <x:v>Cboe Global Markets Inc.</x:v>
      </x:c>
      <x:c r="C24" s="59" t="str">
        <x:v>Research Agent</x:v>
      </x:c>
      <x:c r="D24" s="60" t="str">
        <x:v>Research</x:v>
      </x:c>
      <x:c r="E24" s="74"/>
      <x:c r="F24" s="76" t="n">
        <x:f t="shared" si="0"/>
        <x:v>0</x:v>
      </x:c>
      <x:c r="G24" s="60" t="str">
        <x:v>Pipeline</x:v>
      </x:c>
      <x:c r="H24" s="63"/>
      <x:c r="I24" s="64"/>
      <x:c r="J24" s="60" t="str">
        <x:f t="shared" si="1"/>
        <x:v>Not applicable</x:v>
      </x:c>
      <x:c r="K24" s="59" t="str">
        <x:v>Download and normalize FY2025 filing</x:v>
      </x:c>
      <x:c r="L24" s="59" t="str">
        <x:v>Official filing</x:v>
      </x:c>
      <x:c r="M24" s="59" t="str">
        <x:v>Cboe BZX</x:v>
      </x:c>
      <x:c r="N24" s="60" t="str">
        <x:v>Data pending</x:v>
      </x:c>
      <x:c r="O24" s="78" t="n">
        <x:f t="shared" si="2">IFERROR(E24*F24,0)</x:f>
        <x:v>0</x:v>
      </x:c>
      <x:c r="P24" s="66" t="str">
        <x:v>https://www.sec.gov/Archives/edgar/data/1374310/000162828026010013/cboe-20251231.htm</x:v>
      </x:c>
      <x:c r="Q24" s="19"/>
      <x:c r="R24" s="19"/>
      <x:c r="S24" s="19"/>
    </x:row>
    <x:row r="25" ht="13.5" customHeight="1">
      <x:c r="B25" s="67" t="str">
        <x:v>Tradeweb Markets Inc.</x:v>
      </x:c>
      <x:c r="C25" s="67" t="str">
        <x:v>Research Agent</x:v>
      </x:c>
      <x:c r="D25" s="68" t="str">
        <x:v>Research</x:v>
      </x:c>
      <x:c r="E25" s="75"/>
      <x:c r="F25" s="77" t="n">
        <x:f t="shared" si="0"/>
        <x:v>0</x:v>
      </x:c>
      <x:c r="G25" s="68" t="str">
        <x:v>Pipeline</x:v>
      </x:c>
      <x:c r="H25" s="71"/>
      <x:c r="I25" s="72"/>
      <x:c r="J25" s="68" t="str">
        <x:f t="shared" si="1"/>
        <x:v>Not applicable</x:v>
      </x:c>
      <x:c r="K25" s="67" t="str">
        <x:v>Download and normalize FY2025 filing</x:v>
      </x:c>
      <x:c r="L25" s="67" t="str">
        <x:v>Official filing</x:v>
      </x:c>
      <x:c r="M25" s="67" t="str">
        <x:v>Nasdaq</x:v>
      </x:c>
      <x:c r="N25" s="68" t="str">
        <x:v>Data pending</x:v>
      </x:c>
      <x:c r="O25" s="79" t="n">
        <x:f t="shared" si="2">IFERROR(E25*F25,0)</x:f>
        <x:v>0</x:v>
      </x:c>
      <x:c r="P25" s="66" t="str">
        <x:v>https://www.sec.gov/Archives/edgar/data/1758730/000175873026000015/tw-20251231.htm</x:v>
      </x:c>
      <x:c r="Q25" s="19"/>
      <x:c r="R25" s="19"/>
      <x:c r="S25" s="19"/>
    </x:row>
    <x:row r="26" ht="13.5" customHeight="1">
      <x:c r="B26" s="59" t="str">
        <x:v>Charles Schwab Corporation</x:v>
      </x:c>
      <x:c r="C26" s="59" t="str">
        <x:v>Research Agent</x:v>
      </x:c>
      <x:c r="D26" s="60" t="str">
        <x:v>Research</x:v>
      </x:c>
      <x:c r="E26" s="74"/>
      <x:c r="F26" s="76" t="n">
        <x:f t="shared" si="0"/>
        <x:v>0</x:v>
      </x:c>
      <x:c r="G26" s="60" t="str">
        <x:v>Pipeline</x:v>
      </x:c>
      <x:c r="H26" s="63"/>
      <x:c r="I26" s="64"/>
      <x:c r="J26" s="60" t="str">
        <x:f t="shared" si="1"/>
        <x:v>Not applicable</x:v>
      </x:c>
      <x:c r="K26" s="59" t="str">
        <x:v>Download and normalize FY2025 filing</x:v>
      </x:c>
      <x:c r="L26" s="59" t="str">
        <x:v>Official filing</x:v>
      </x:c>
      <x:c r="M26" s="59" t="str">
        <x:v>NYSE</x:v>
      </x:c>
      <x:c r="N26" s="60" t="str">
        <x:v>Data pending</x:v>
      </x:c>
      <x:c r="O26" s="78" t="n">
        <x:f t="shared" si="2">IFERROR(E26*F26,0)</x:f>
        <x:v>0</x:v>
      </x:c>
      <x:c r="P26" s="66" t="str">
        <x:v>https://www.sec.gov/Archives/edgar/data/316709/000031670926000009/schw-20251231.htm</x:v>
      </x:c>
      <x:c r="Q26" s="19"/>
      <x:c r="R26" s="19"/>
      <x:c r="S26" s="19"/>
    </x:row>
    <x:row r="27" ht="13.5" customHeight="1">
      <x:c r="B27" s="67" t="str">
        <x:v>Interactive Brokers Group</x:v>
      </x:c>
      <x:c r="C27" s="67" t="str">
        <x:v>Research Agent</x:v>
      </x:c>
      <x:c r="D27" s="68" t="str">
        <x:v>Research</x:v>
      </x:c>
      <x:c r="E27" s="75"/>
      <x:c r="F27" s="77" t="n">
        <x:f t="shared" si="0"/>
        <x:v>0</x:v>
      </x:c>
      <x:c r="G27" s="68" t="str">
        <x:v>Pipeline</x:v>
      </x:c>
      <x:c r="H27" s="71"/>
      <x:c r="I27" s="72"/>
      <x:c r="J27" s="68" t="str">
        <x:f t="shared" si="1"/>
        <x:v>Not applicable</x:v>
      </x:c>
      <x:c r="K27" s="67" t="str">
        <x:v>Download and normalize FY2025 filing</x:v>
      </x:c>
      <x:c r="L27" s="67" t="str">
        <x:v>Official filing</x:v>
      </x:c>
      <x:c r="M27" s="67" t="str">
        <x:v>Nasdaq</x:v>
      </x:c>
      <x:c r="N27" s="68" t="str">
        <x:v>Data pending</x:v>
      </x:c>
      <x:c r="O27" s="79" t="n">
        <x:f t="shared" si="2">IFERROR(E27*F27,0)</x:f>
        <x:v>0</x:v>
      </x:c>
      <x:c r="P27" s="66" t="str">
        <x:v>https://www.sec.gov/Archives/edgar/data/1381197/000138119726000062/ibkr-20251231.htm</x:v>
      </x:c>
      <x:c r="Q27" s="19"/>
      <x:c r="R27" s="19"/>
      <x:c r="S27" s="19"/>
    </x:row>
    <x:row r="28" ht="13.5" customHeight="1">
      <x:c r="B28" s="59" t="str">
        <x:v>Robinhood Markets Inc.</x:v>
      </x:c>
      <x:c r="C28" s="59" t="str">
        <x:v>Research Agent</x:v>
      </x:c>
      <x:c r="D28" s="60" t="str">
        <x:v>Research</x:v>
      </x:c>
      <x:c r="E28" s="74"/>
      <x:c r="F28" s="76" t="n">
        <x:f t="shared" si="0"/>
        <x:v>0</x:v>
      </x:c>
      <x:c r="G28" s="60" t="str">
        <x:v>Pipeline</x:v>
      </x:c>
      <x:c r="H28" s="63"/>
      <x:c r="I28" s="64"/>
      <x:c r="J28" s="60" t="str">
        <x:f t="shared" si="1"/>
        <x:v>Not applicable</x:v>
      </x:c>
      <x:c r="K28" s="59" t="str">
        <x:v>Download and normalize FY2025 filing</x:v>
      </x:c>
      <x:c r="L28" s="59" t="str">
        <x:v>Official filing</x:v>
      </x:c>
      <x:c r="M28" s="59" t="str">
        <x:v>Nasdaq</x:v>
      </x:c>
      <x:c r="N28" s="60" t="str">
        <x:v>Data pending</x:v>
      </x:c>
      <x:c r="O28" s="78" t="n">
        <x:f t="shared" si="2">IFERROR(E28*F28,0)</x:f>
        <x:v>0</x:v>
      </x:c>
      <x:c r="P28" s="66" t="str">
        <x:v>https://www.sec.gov/Archives/edgar/data/1783879/000178387926000023/hood-20251231.htm</x:v>
      </x:c>
      <x:c r="Q28" s="19"/>
      <x:c r="R28" s="19"/>
      <x:c r="S28" s="19"/>
    </x:row>
    <x:row r="29" ht="13.5" customHeight="1">
      <x:c r="B29" s="67" t="str">
        <x:v>Futu Holdings Limited</x:v>
      </x:c>
      <x:c r="C29" s="67" t="str">
        <x:v>Research Agent</x:v>
      </x:c>
      <x:c r="D29" s="68" t="str">
        <x:v>Research</x:v>
      </x:c>
      <x:c r="E29" s="75"/>
      <x:c r="F29" s="77" t="n">
        <x:f t="shared" si="0"/>
        <x:v>0</x:v>
      </x:c>
      <x:c r="G29" s="68" t="str">
        <x:v>Pipeline</x:v>
      </x:c>
      <x:c r="H29" s="71"/>
      <x:c r="I29" s="72"/>
      <x:c r="J29" s="68" t="str">
        <x:f t="shared" si="1"/>
        <x:v>Not applicable</x:v>
      </x:c>
      <x:c r="K29" s="67" t="str">
        <x:v>Download and normalize FY2025 filing</x:v>
      </x:c>
      <x:c r="L29" s="67" t="str">
        <x:v>Official filing</x:v>
      </x:c>
      <x:c r="M29" s="67" t="str">
        <x:v>Nasdaq</x:v>
      </x:c>
      <x:c r="N29" s="68" t="str">
        <x:v>Data pending</x:v>
      </x:c>
      <x:c r="O29" s="79" t="n">
        <x:f t="shared" si="2">IFERROR(E29*F29,0)</x:f>
        <x:v>0</x:v>
      </x:c>
      <x:c r="P29" s="66" t="str">
        <x:v>https://www.sec.gov/Archives/edgar/data/1754581/000110465926043451/futu-20251231x20f.htm</x:v>
      </x:c>
      <x:c r="Q29" s="19"/>
      <x:c r="R29" s="19"/>
      <x:c r="S29" s="19"/>
    </x:row>
    <x:row r="30" ht="13.5" customHeight="1">
      <x:c r="B30" s="59" t="str">
        <x:v>东方财富</x:v>
      </x:c>
      <x:c r="C30" s="59" t="str">
        <x:v>Research Agent</x:v>
      </x:c>
      <x:c r="D30" s="60" t="str">
        <x:v>Research</x:v>
      </x:c>
      <x:c r="E30" s="74"/>
      <x:c r="F30" s="76" t="n">
        <x:f t="shared" si="0"/>
        <x:v>0</x:v>
      </x:c>
      <x:c r="G30" s="60" t="str">
        <x:v>Pipeline</x:v>
      </x:c>
      <x:c r="H30" s="63"/>
      <x:c r="I30" s="64"/>
      <x:c r="J30" s="60" t="str">
        <x:f t="shared" si="1"/>
        <x:v>Not applicable</x:v>
      </x:c>
      <x:c r="K30" s="59" t="str">
        <x:v>Download and normalize FY2025 filing</x:v>
      </x:c>
      <x:c r="L30" s="59" t="str">
        <x:v>Official filing</x:v>
      </x:c>
      <x:c r="M30" s="59" t="str">
        <x:v>SZSE</x:v>
      </x:c>
      <x:c r="N30" s="60" t="str">
        <x:v>Data pending</x:v>
      </x:c>
      <x:c r="O30" s="78" t="n">
        <x:f t="shared" si="2">IFERROR(E30*F30,0)</x:f>
        <x:v>0</x:v>
      </x:c>
      <x:c r="P30" s="66" t="str">
        <x:v>https://static.cninfo.com.cn/finalpage/2026-03-20/1225019509.PDF</x:v>
      </x:c>
      <x:c r="Q30" s="19"/>
      <x:c r="R30" s="19"/>
      <x:c r="S30" s="19"/>
    </x:row>
    <x:row r="31" ht="13.5" customHeight="1">
      <x:c r="B31" s="11"/>
      <x:c r="C31" s="11"/>
      <x:c r="D31" s="12"/>
      <x:c r="E31" s="13"/>
      <x:c r="F31" s="14">
        <x:f t="shared" si="0"/>
      </x:c>
      <x:c r="G31" s="12"/>
      <x:c r="H31" s="15"/>
      <x:c r="I31" s="16"/>
      <x:c r="J31" s="12">
        <x:f t="shared" si="1"/>
      </x:c>
      <x:c r="K31" s="11"/>
      <x:c r="L31" s="11"/>
      <x:c r="M31" s="11"/>
      <x:c r="N31" s="12"/>
      <x:c r="O31" s="17">
        <x:f t="shared" si="2"/>
      </x:c>
      <x:c r="P31" s="19"/>
      <x:c r="Q31" s="19"/>
      <x:c r="R31" s="19"/>
      <x:c r="S31" s="19"/>
    </x:row>
    <x:row r="32" ht="13.5" customHeight="1">
      <x:c r="B32" s="4"/>
      <x:c r="C32" s="4"/>
      <x:c r="D32" s="5"/>
      <x:c r="E32" s="6"/>
      <x:c r="F32" s="7">
        <x:f t="shared" si="0"/>
      </x:c>
      <x:c r="G32" s="5"/>
      <x:c r="H32" s="8"/>
      <x:c r="I32" s="9"/>
      <x:c r="J32" s="5">
        <x:f t="shared" si="1"/>
      </x:c>
      <x:c r="K32" s="4"/>
      <x:c r="L32" s="4"/>
      <x:c r="M32" s="4"/>
      <x:c r="N32" s="5"/>
      <x:c r="O32" s="10">
        <x:f t="shared" si="2"/>
      </x:c>
      <x:c r="P32" s="19"/>
      <x:c r="Q32" s="19"/>
      <x:c r="R32" s="19"/>
      <x:c r="S32" s="19"/>
    </x:row>
    <x:row r="33" ht="13.5" customHeight="1">
      <x:c r="B33" s="11"/>
      <x:c r="C33" s="11"/>
      <x:c r="D33" s="12"/>
      <x:c r="E33" s="13"/>
      <x:c r="F33" s="14">
        <x:f t="shared" si="0"/>
      </x:c>
      <x:c r="G33" s="12"/>
      <x:c r="H33" s="15"/>
      <x:c r="I33" s="16"/>
      <x:c r="J33" s="12">
        <x:f t="shared" si="1"/>
      </x:c>
      <x:c r="K33" s="11"/>
      <x:c r="L33" s="11"/>
      <x:c r="M33" s="11"/>
      <x:c r="N33" s="12"/>
      <x:c r="O33" s="17">
        <x:f t="shared" si="2"/>
      </x:c>
      <x:c r="P33" s="19"/>
      <x:c r="Q33" s="19"/>
      <x:c r="R33" s="19"/>
      <x:c r="S33" s="19"/>
    </x:row>
    <x:row r="34" ht="13.5" customHeight="1">
      <x:c r="B34" s="4"/>
      <x:c r="C34" s="4"/>
      <x:c r="D34" s="5"/>
      <x:c r="E34" s="6"/>
      <x:c r="F34" s="7">
        <x:f t="shared" si="0"/>
      </x:c>
      <x:c r="G34" s="5"/>
      <x:c r="H34" s="8"/>
      <x:c r="I34" s="9"/>
      <x:c r="J34" s="5">
        <x:f t="shared" si="1"/>
      </x:c>
      <x:c r="K34" s="4"/>
      <x:c r="L34" s="4"/>
      <x:c r="M34" s="4"/>
      <x:c r="N34" s="5"/>
      <x:c r="O34" s="10">
        <x:f t="shared" si="2"/>
      </x:c>
      <x:c r="P34" s="19"/>
      <x:c r="Q34" s="19"/>
      <x:c r="R34" s="19"/>
      <x:c r="S34" s="19"/>
    </x:row>
    <x:row r="35" ht="13.5" customHeight="1">
      <x:c r="B35" s="11"/>
      <x:c r="C35" s="11"/>
      <x:c r="D35" s="12"/>
      <x:c r="E35" s="13"/>
      <x:c r="F35" s="14">
        <x:f t="shared" si="0"/>
      </x:c>
      <x:c r="G35" s="12"/>
      <x:c r="H35" s="15"/>
      <x:c r="I35" s="16"/>
      <x:c r="J35" s="12">
        <x:f t="shared" si="1"/>
      </x:c>
      <x:c r="K35" s="11"/>
      <x:c r="L35" s="11"/>
      <x:c r="M35" s="11"/>
      <x:c r="N35" s="12"/>
      <x:c r="O35" s="17">
        <x:f t="shared" si="2"/>
      </x:c>
      <x:c r="P35" s="19"/>
      <x:c r="Q35" s="19"/>
      <x:c r="R35" s="19"/>
      <x:c r="S35" s="19"/>
    </x:row>
    <x:row r="36" ht="13.5" customHeight="1">
      <x:c r="B36" s="4"/>
      <x:c r="C36" s="4"/>
      <x:c r="D36" s="5"/>
      <x:c r="E36" s="6"/>
      <x:c r="F36" s="7">
        <x:f t="shared" si="0"/>
      </x:c>
      <x:c r="G36" s="5"/>
      <x:c r="H36" s="8"/>
      <x:c r="I36" s="9"/>
      <x:c r="J36" s="5">
        <x:f t="shared" si="1"/>
      </x:c>
      <x:c r="K36" s="4"/>
      <x:c r="L36" s="4"/>
      <x:c r="M36" s="4"/>
      <x:c r="N36" s="5"/>
      <x:c r="O36" s="10">
        <x:f t="shared" si="2"/>
      </x:c>
      <x:c r="P36" s="19"/>
      <x:c r="Q36" s="19"/>
      <x:c r="R36" s="19"/>
      <x:c r="S36" s="19"/>
    </x:row>
    <x:row r="37" ht="13.5" customHeight="1">
      <x:c r="B37" s="11"/>
      <x:c r="C37" s="11"/>
      <x:c r="D37" s="12"/>
      <x:c r="E37" s="13"/>
      <x:c r="F37" s="14">
        <x:f t="shared" si="0"/>
      </x:c>
      <x:c r="G37" s="12"/>
      <x:c r="H37" s="15"/>
      <x:c r="I37" s="16"/>
      <x:c r="J37" s="12">
        <x:f t="shared" si="1"/>
      </x:c>
      <x:c r="K37" s="11"/>
      <x:c r="L37" s="11"/>
      <x:c r="M37" s="11"/>
      <x:c r="N37" s="12"/>
      <x:c r="O37" s="17">
        <x:f t="shared" si="2"/>
      </x:c>
      <x:c r="P37" s="19"/>
      <x:c r="Q37" s="19"/>
      <x:c r="R37" s="19"/>
      <x:c r="S37" s="19"/>
    </x:row>
    <x:row r="38" ht="13.5" customHeight="1">
      <x:c r="B38" s="4"/>
      <x:c r="C38" s="4"/>
      <x:c r="D38" s="5"/>
      <x:c r="E38" s="6"/>
      <x:c r="F38" s="7">
        <x:f t="shared" si="0"/>
      </x:c>
      <x:c r="G38" s="5"/>
      <x:c r="H38" s="8"/>
      <x:c r="I38" s="9"/>
      <x:c r="J38" s="5">
        <x:f t="shared" si="1"/>
      </x:c>
      <x:c r="K38" s="4"/>
      <x:c r="L38" s="4"/>
      <x:c r="M38" s="4"/>
      <x:c r="N38" s="5"/>
      <x:c r="O38" s="10">
        <x:f t="shared" si="2"/>
      </x:c>
      <x:c r="P38" s="19"/>
      <x:c r="Q38" s="19"/>
      <x:c r="R38" s="19"/>
      <x:c r="S38" s="19"/>
    </x:row>
    <x:row r="39" ht="13.5" customHeight="1">
      <x:c r="B39" s="11"/>
      <x:c r="C39" s="11"/>
      <x:c r="D39" s="12"/>
      <x:c r="E39" s="13"/>
      <x:c r="F39" s="14">
        <x:f t="shared" si="0"/>
      </x:c>
      <x:c r="G39" s="12"/>
      <x:c r="H39" s="15"/>
      <x:c r="I39" s="16"/>
      <x:c r="J39" s="12">
        <x:f t="shared" si="1"/>
      </x:c>
      <x:c r="K39" s="11"/>
      <x:c r="L39" s="11"/>
      <x:c r="M39" s="11"/>
      <x:c r="N39" s="12"/>
      <x:c r="O39" s="17">
        <x:f t="shared" si="2"/>
      </x:c>
      <x:c r="P39" s="19"/>
      <x:c r="Q39" s="19"/>
      <x:c r="R39" s="19"/>
      <x:c r="S39" s="19"/>
    </x:row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Q4:R4"/>
    <x:mergeCell ref="Q5:R5"/>
    <x:mergeCell ref="Q6:R6"/>
    <x:mergeCell ref="Q7:R7"/>
    <x:mergeCell ref="Q20:S20"/>
    <x:mergeCell ref="Q21:R21"/>
    <x:mergeCell ref="Q22:R22"/>
    <x:mergeCell ref="Q23:R23"/>
    <x:mergeCell ref="B2:O2"/>
    <x:mergeCell ref="Q2:S3"/>
    <x:mergeCell ref="B3:O3"/>
    <x:mergeCell ref="B5:D5"/>
    <x:mergeCell ref="E5:G5"/>
    <x:mergeCell ref="H5:J5"/>
    <x:mergeCell ref="K5:M5"/>
    <x:mergeCell ref="B9:D9"/>
    <x:mergeCell ref="B10:D11"/>
    <x:mergeCell ref="E10:G11"/>
    <x:mergeCell ref="H10:J11"/>
    <x:mergeCell ref="K10:M11"/>
    <x:mergeCell ref="B13:O13"/>
    <x:mergeCell ref="B14:O14"/>
    <x:mergeCell ref="B6:D7"/>
    <x:mergeCell ref="E6:G7"/>
    <x:mergeCell ref="H6:J7"/>
    <x:mergeCell ref="K6:M7"/>
    <x:mergeCell ref="E9:G9"/>
    <x:mergeCell ref="H9:J9"/>
    <x:mergeCell ref="K9:M9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